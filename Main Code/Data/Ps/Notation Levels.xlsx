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ivat\PhD\CERN\AEgIS Laser Experiment\Ps Simulation\github version\Laser-interaction-in-fields\Main Code\Data\Ps\"/>
    </mc:Choice>
  </mc:AlternateContent>
  <xr:revisionPtr revIDLastSave="0" documentId="13_ncr:1_{65933288-DBD5-4E08-A44D-71AFE4AE0660}" xr6:coauthVersionLast="45" xr6:coauthVersionMax="45" xr10:uidLastSave="{00000000-0000-0000-0000-000000000000}"/>
  <bookViews>
    <workbookView xWindow="-108" yWindow="-108" windowWidth="23256" windowHeight="12576" xr2:uid="{190D9B99-2D27-4C77-BD4D-606214AEA35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5" i="1" l="1"/>
  <c r="R24" i="1"/>
  <c r="R23" i="1"/>
  <c r="R22" i="1"/>
  <c r="R21" i="1"/>
  <c r="R20" i="1"/>
  <c r="R19" i="1"/>
  <c r="R18" i="1"/>
  <c r="R17" i="1"/>
  <c r="R6" i="1"/>
  <c r="R7" i="1"/>
  <c r="R8" i="1"/>
  <c r="R9" i="1"/>
  <c r="R10" i="1"/>
  <c r="R11" i="1"/>
  <c r="R12" i="1"/>
  <c r="R13" i="1"/>
  <c r="R14" i="1"/>
  <c r="R15" i="1"/>
  <c r="R16" i="1"/>
  <c r="O5" i="1"/>
  <c r="O6" i="1"/>
  <c r="O15" i="1"/>
  <c r="O16" i="1"/>
  <c r="O17" i="1"/>
  <c r="O18" i="1"/>
  <c r="O19" i="1"/>
  <c r="O20" i="1"/>
  <c r="O21" i="1"/>
  <c r="O22" i="1"/>
  <c r="O23" i="1"/>
  <c r="O24" i="1"/>
  <c r="O2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<sst xmlns="http://schemas.openxmlformats.org/spreadsheetml/2006/main" count="86" uniqueCount="38">
  <si>
    <t>M</t>
  </si>
  <si>
    <t>2M</t>
  </si>
  <si>
    <t>Level</t>
  </si>
  <si>
    <t>Ground state</t>
  </si>
  <si>
    <t>Energy [1/cm]</t>
  </si>
  <si>
    <t>Dead level</t>
  </si>
  <si>
    <t>v</t>
  </si>
  <si>
    <t>2J</t>
  </si>
  <si>
    <t>2N</t>
  </si>
  <si>
    <t>Delta</t>
  </si>
  <si>
    <t>C</t>
  </si>
  <si>
    <t>Sym</t>
  </si>
  <si>
    <t>#</t>
  </si>
  <si>
    <t>Pop</t>
  </si>
  <si>
    <t>2O</t>
  </si>
  <si>
    <t>Triplet</t>
  </si>
  <si>
    <r>
      <t xml:space="preserve">1 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0</t>
    </r>
  </si>
  <si>
    <r>
      <t xml:space="preserve">1 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</si>
  <si>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Excited state</t>
  </si>
  <si>
    <t>Singlet</t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</si>
  <si>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1</t>
    </r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</si>
  <si>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0</t>
    </r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</si>
  <si>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1</t>
    </r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</si>
  <si>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</si>
  <si>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2</t>
    </r>
  </si>
  <si>
    <r>
      <t xml:space="preserve">2 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</si>
  <si>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PhD Thesis Villa (p.71)</t>
  </si>
  <si>
    <t>Freq. Shift
[GHz]</t>
  </si>
  <si>
    <t>Mani-fold</t>
  </si>
  <si>
    <t>Speed of light [m/s]</t>
  </si>
  <si>
    <t>Notation</t>
  </si>
  <si>
    <r>
      <t xml:space="preserve">n </t>
    </r>
    <r>
      <rPr>
        <b/>
        <vertAlign val="superscript"/>
        <sz val="11"/>
        <color theme="1"/>
        <rFont val="Calibri"/>
        <family val="2"/>
        <scheme val="minor"/>
      </rPr>
      <t>2s+1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J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</si>
  <si>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J</t>
    </r>
  </si>
  <si>
    <t>(no longer used)</t>
  </si>
  <si>
    <t>Dependence</t>
  </si>
  <si>
    <t>on E- and B-field</t>
  </si>
  <si>
    <t>Atomic Term Symbols</t>
  </si>
  <si>
    <t>Ps Input File 'Ps_Levels_21.dat' for Laser-Cooling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</si>
</sst>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Fill="1" applyBorder="1"/>
    <xf numFmtId="0" fontId="0" fillId="2" borderId="10" xfId="0" applyFill="1" applyBorder="1"/>
    <xf numFmtId="0" fontId="0" fillId="2" borderId="11" xfId="0" applyFill="1" applyBorder="1"/>
    <xf numFmtId="174" fontId="0" fillId="2" borderId="12" xfId="0" applyNumberFormat="1" applyFill="1" applyBorder="1"/>
    <xf numFmtId="0" fontId="0" fillId="2" borderId="2" xfId="0" applyFill="1" applyBorder="1"/>
    <xf numFmtId="0" fontId="0" fillId="2" borderId="3" xfId="0" applyFill="1" applyBorder="1"/>
    <xf numFmtId="174" fontId="0" fillId="2" borderId="4" xfId="0" applyNumberFormat="1" applyFill="1" applyBorder="1"/>
    <xf numFmtId="0" fontId="0" fillId="2" borderId="5" xfId="0" applyFill="1" applyBorder="1"/>
    <xf numFmtId="0" fontId="0" fillId="2" borderId="0" xfId="0" applyFill="1" applyBorder="1"/>
    <xf numFmtId="174" fontId="0" fillId="2" borderId="6" xfId="0" applyNumberFormat="1" applyFill="1" applyBorder="1"/>
    <xf numFmtId="0" fontId="0" fillId="2" borderId="7" xfId="0" applyFill="1" applyBorder="1"/>
    <xf numFmtId="0" fontId="0" fillId="2" borderId="8" xfId="0" applyFill="1" applyBorder="1"/>
    <xf numFmtId="174" fontId="0" fillId="2" borderId="9" xfId="0" applyNumberFormat="1" applyFill="1" applyBorder="1"/>
    <xf numFmtId="0" fontId="0" fillId="3" borderId="10" xfId="0" applyFill="1" applyBorder="1"/>
    <xf numFmtId="0" fontId="0" fillId="3" borderId="11" xfId="0" applyFill="1" applyBorder="1"/>
    <xf numFmtId="174" fontId="0" fillId="3" borderId="12" xfId="0" applyNumberFormat="1" applyFill="1" applyBorder="1"/>
    <xf numFmtId="0" fontId="0" fillId="3" borderId="2" xfId="0" applyFill="1" applyBorder="1"/>
    <xf numFmtId="0" fontId="0" fillId="3" borderId="3" xfId="0" applyFill="1" applyBorder="1"/>
    <xf numFmtId="174" fontId="0" fillId="3" borderId="4" xfId="0" applyNumberFormat="1" applyFill="1" applyBorder="1"/>
    <xf numFmtId="0" fontId="0" fillId="3" borderId="5" xfId="0" applyFill="1" applyBorder="1"/>
    <xf numFmtId="0" fontId="0" fillId="3" borderId="0" xfId="0" applyFill="1" applyBorder="1"/>
    <xf numFmtId="17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174" fontId="0" fillId="3" borderId="9" xfId="0" applyNumberFormat="1" applyFill="1" applyBorder="1"/>
    <xf numFmtId="0" fontId="1" fillId="0" borderId="0" xfId="0" applyFont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4" borderId="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5" borderId="1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6" borderId="10" xfId="0" applyFill="1" applyBorder="1" applyAlignment="1">
      <alignment horizontal="center"/>
    </xf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10" xfId="0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6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7620</xdr:colOff>
      <xdr:row>4</xdr:row>
      <xdr:rowOff>4961</xdr:rowOff>
    </xdr:from>
    <xdr:to>
      <xdr:col>25</xdr:col>
      <xdr:colOff>0</xdr:colOff>
      <xdr:row>25</xdr:row>
      <xdr:rowOff>77332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6B1974F-DFC6-46B5-9D06-1C710E48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1140" y="919361"/>
          <a:ext cx="3954780" cy="45224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5800-22C5-48AC-AEE5-2780B066A39F}">
  <dimension ref="A1:Y29"/>
  <sheetViews>
    <sheetView tabSelected="1" workbookViewId="0">
      <selection activeCell="A2" sqref="A2"/>
    </sheetView>
  </sheetViews>
  <sheetFormatPr baseColWidth="10" defaultRowHeight="14.4" x14ac:dyDescent="0.3"/>
  <cols>
    <col min="1" max="1" width="6" bestFit="1" customWidth="1"/>
    <col min="2" max="2" width="4.33203125" customWidth="1"/>
    <col min="3" max="3" width="4.5546875" customWidth="1"/>
    <col min="4" max="9" width="4.33203125" customWidth="1"/>
    <col min="10" max="10" width="12.6640625" bestFit="1" customWidth="1"/>
    <col min="11" max="11" width="5.33203125" style="37" bestFit="1" customWidth="1"/>
    <col min="12" max="12" width="4.33203125" style="37" customWidth="1"/>
    <col min="13" max="13" width="4.88671875" style="38" customWidth="1"/>
    <col min="14" max="14" width="6.44140625" style="37" bestFit="1" customWidth="1"/>
    <col min="15" max="15" width="2.77734375" bestFit="1" customWidth="1"/>
    <col min="16" max="16" width="6.33203125" bestFit="1" customWidth="1"/>
    <col min="18" max="18" width="14.5546875" bestFit="1" customWidth="1"/>
  </cols>
  <sheetData>
    <row r="1" spans="1:25" x14ac:dyDescent="0.3">
      <c r="A1" s="78" t="s">
        <v>37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N1" s="78" t="s">
        <v>36</v>
      </c>
      <c r="O1" s="79"/>
      <c r="P1" s="79"/>
      <c r="Q1" s="79"/>
      <c r="R1" s="80"/>
    </row>
    <row r="3" spans="1:25" s="52" customFormat="1" ht="28.8" x14ac:dyDescent="0.3">
      <c r="A3" s="55" t="s">
        <v>28</v>
      </c>
      <c r="B3" s="56" t="s">
        <v>1</v>
      </c>
      <c r="C3" s="56" t="s">
        <v>11</v>
      </c>
      <c r="D3" s="56" t="s">
        <v>12</v>
      </c>
      <c r="E3" s="56" t="s">
        <v>13</v>
      </c>
      <c r="F3" s="56" t="s">
        <v>6</v>
      </c>
      <c r="G3" s="56" t="s">
        <v>7</v>
      </c>
      <c r="H3" s="56" t="s">
        <v>8</v>
      </c>
      <c r="I3" s="56" t="s">
        <v>14</v>
      </c>
      <c r="J3" s="56" t="s">
        <v>4</v>
      </c>
      <c r="K3" s="56" t="s">
        <v>9</v>
      </c>
      <c r="L3" s="57" t="s">
        <v>10</v>
      </c>
      <c r="M3" s="54"/>
      <c r="N3" s="55" t="s">
        <v>2</v>
      </c>
      <c r="O3" s="56" t="s">
        <v>0</v>
      </c>
      <c r="P3" s="56"/>
      <c r="Q3" s="56"/>
      <c r="R3" s="57" t="s">
        <v>27</v>
      </c>
      <c r="S3" s="53"/>
      <c r="T3" s="53"/>
      <c r="U3" s="81" t="s">
        <v>26</v>
      </c>
      <c r="V3" s="82"/>
      <c r="W3" s="82"/>
      <c r="X3" s="82"/>
      <c r="Y3" s="83"/>
    </row>
    <row r="4" spans="1:25" x14ac:dyDescent="0.3">
      <c r="M4" s="3"/>
    </row>
    <row r="5" spans="1:25" x14ac:dyDescent="0.3">
      <c r="A5" s="51">
        <v>0</v>
      </c>
      <c r="B5" s="48">
        <v>0</v>
      </c>
      <c r="C5" s="48">
        <v>1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-10000</v>
      </c>
      <c r="K5" s="58">
        <v>0</v>
      </c>
      <c r="L5" s="69">
        <v>0</v>
      </c>
      <c r="M5" s="3"/>
      <c r="N5" s="47"/>
      <c r="O5" s="48">
        <f>B5/2</f>
        <v>0</v>
      </c>
      <c r="P5" s="48"/>
      <c r="Q5" s="49" t="s">
        <v>5</v>
      </c>
      <c r="R5" s="50"/>
    </row>
    <row r="6" spans="1:25" ht="16.8" x14ac:dyDescent="0.35">
      <c r="A6" s="16">
        <v>1</v>
      </c>
      <c r="B6" s="17">
        <v>0</v>
      </c>
      <c r="C6" s="17">
        <v>1</v>
      </c>
      <c r="D6" s="17">
        <v>1</v>
      </c>
      <c r="E6" s="17">
        <v>0</v>
      </c>
      <c r="F6" s="17">
        <v>1</v>
      </c>
      <c r="G6" s="17">
        <v>0</v>
      </c>
      <c r="H6" s="17">
        <v>0</v>
      </c>
      <c r="I6" s="17">
        <v>0</v>
      </c>
      <c r="J6" s="17">
        <v>-6.8175892659999997</v>
      </c>
      <c r="K6" s="59">
        <v>0</v>
      </c>
      <c r="L6" s="70">
        <v>0</v>
      </c>
      <c r="M6" s="3"/>
      <c r="N6" s="29" t="s">
        <v>16</v>
      </c>
      <c r="O6" s="17">
        <f>B6/2</f>
        <v>0</v>
      </c>
      <c r="P6" s="17" t="s">
        <v>19</v>
      </c>
      <c r="Q6" s="39" t="s">
        <v>3</v>
      </c>
      <c r="R6" s="18">
        <f>$R$27*(J6-$J$6)/10^7</f>
        <v>0</v>
      </c>
    </row>
    <row r="7" spans="1:25" ht="16.8" x14ac:dyDescent="0.35">
      <c r="A7" s="7">
        <v>1</v>
      </c>
      <c r="B7" s="8">
        <v>-2</v>
      </c>
      <c r="C7" s="8">
        <v>1</v>
      </c>
      <c r="D7" s="8">
        <v>2</v>
      </c>
      <c r="E7" s="8">
        <v>1</v>
      </c>
      <c r="F7" s="8">
        <v>1</v>
      </c>
      <c r="G7" s="8">
        <v>2</v>
      </c>
      <c r="H7" s="8">
        <v>0</v>
      </c>
      <c r="I7" s="8">
        <v>2</v>
      </c>
      <c r="J7" s="8">
        <v>0</v>
      </c>
      <c r="K7" s="60">
        <v>0</v>
      </c>
      <c r="L7" s="71">
        <v>0</v>
      </c>
      <c r="M7" s="3"/>
      <c r="N7" s="30" t="s">
        <v>17</v>
      </c>
      <c r="O7" s="8">
        <f>B7/2</f>
        <v>-1</v>
      </c>
      <c r="P7" s="8" t="s">
        <v>15</v>
      </c>
      <c r="Q7" s="40" t="s">
        <v>3</v>
      </c>
      <c r="R7" s="9">
        <f>$R$27*(J7-$J$6)/10^7</f>
        <v>204.38618436885557</v>
      </c>
    </row>
    <row r="8" spans="1:25" ht="16.8" x14ac:dyDescent="0.35">
      <c r="A8" s="10">
        <v>1</v>
      </c>
      <c r="B8" s="11">
        <v>0</v>
      </c>
      <c r="C8" s="11">
        <v>1</v>
      </c>
      <c r="D8" s="11">
        <v>3</v>
      </c>
      <c r="E8" s="11">
        <v>1</v>
      </c>
      <c r="F8" s="11">
        <v>1</v>
      </c>
      <c r="G8" s="11">
        <v>2</v>
      </c>
      <c r="H8" s="11">
        <v>0</v>
      </c>
      <c r="I8" s="11">
        <v>2</v>
      </c>
      <c r="J8" s="11">
        <v>0</v>
      </c>
      <c r="K8" s="61">
        <v>0</v>
      </c>
      <c r="L8" s="72">
        <v>0</v>
      </c>
      <c r="M8" s="3"/>
      <c r="N8" s="31" t="s">
        <v>17</v>
      </c>
      <c r="O8" s="11">
        <f>B8/2</f>
        <v>0</v>
      </c>
      <c r="P8" s="11" t="s">
        <v>15</v>
      </c>
      <c r="Q8" s="41" t="s">
        <v>3</v>
      </c>
      <c r="R8" s="12">
        <f>$R$27*(J8-$J$6)/10^7</f>
        <v>204.38618436885557</v>
      </c>
    </row>
    <row r="9" spans="1:25" ht="16.8" x14ac:dyDescent="0.35">
      <c r="A9" s="13">
        <v>1</v>
      </c>
      <c r="B9" s="14">
        <v>2</v>
      </c>
      <c r="C9" s="14">
        <v>1</v>
      </c>
      <c r="D9" s="14">
        <v>4</v>
      </c>
      <c r="E9" s="14">
        <v>1</v>
      </c>
      <c r="F9" s="14">
        <v>1</v>
      </c>
      <c r="G9" s="14">
        <v>2</v>
      </c>
      <c r="H9" s="14">
        <v>0</v>
      </c>
      <c r="I9" s="14">
        <v>2</v>
      </c>
      <c r="J9" s="14">
        <v>0</v>
      </c>
      <c r="K9" s="62">
        <v>0</v>
      </c>
      <c r="L9" s="73">
        <v>0</v>
      </c>
      <c r="M9" s="3"/>
      <c r="N9" s="32" t="s">
        <v>17</v>
      </c>
      <c r="O9" s="14">
        <f>B9/2</f>
        <v>1</v>
      </c>
      <c r="P9" s="14" t="s">
        <v>15</v>
      </c>
      <c r="Q9" s="42" t="s">
        <v>3</v>
      </c>
      <c r="R9" s="15">
        <f>$R$27*(J9-$J$6)/10^7</f>
        <v>204.38618436885557</v>
      </c>
    </row>
    <row r="10" spans="1:25" ht="16.8" x14ac:dyDescent="0.35">
      <c r="A10" s="16">
        <v>2</v>
      </c>
      <c r="B10" s="17">
        <v>0</v>
      </c>
      <c r="C10" s="17">
        <v>1</v>
      </c>
      <c r="D10" s="17">
        <v>5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41147.812610000001</v>
      </c>
      <c r="K10" s="59">
        <v>0</v>
      </c>
      <c r="L10" s="70">
        <v>0</v>
      </c>
      <c r="M10" s="3"/>
      <c r="N10" s="29" t="s">
        <v>21</v>
      </c>
      <c r="O10" s="17">
        <f>B10/2</f>
        <v>0</v>
      </c>
      <c r="P10" s="17" t="s">
        <v>19</v>
      </c>
      <c r="Q10" s="43" t="s">
        <v>18</v>
      </c>
      <c r="R10" s="18">
        <f>$R$27*(J10-$J$10)/10^7</f>
        <v>0</v>
      </c>
    </row>
    <row r="11" spans="1:25" ht="16.8" x14ac:dyDescent="0.35">
      <c r="A11" s="7">
        <v>2</v>
      </c>
      <c r="B11" s="8">
        <v>-2</v>
      </c>
      <c r="C11" s="8">
        <v>1</v>
      </c>
      <c r="D11" s="8">
        <v>6</v>
      </c>
      <c r="E11" s="8">
        <v>0</v>
      </c>
      <c r="F11" s="8">
        <v>2</v>
      </c>
      <c r="G11" s="8">
        <v>2</v>
      </c>
      <c r="H11" s="8">
        <v>0</v>
      </c>
      <c r="I11" s="8">
        <v>2</v>
      </c>
      <c r="J11" s="8">
        <v>41148.664810000002</v>
      </c>
      <c r="K11" s="60">
        <v>0</v>
      </c>
      <c r="L11" s="71">
        <v>0</v>
      </c>
      <c r="M11" s="3"/>
      <c r="N11" s="30" t="s">
        <v>25</v>
      </c>
      <c r="O11" s="8">
        <f>B11/2</f>
        <v>-1</v>
      </c>
      <c r="P11" s="8" t="s">
        <v>15</v>
      </c>
      <c r="Q11" s="44" t="s">
        <v>18</v>
      </c>
      <c r="R11" s="9">
        <f>$R$27*(J11-$J$10)/10^7</f>
        <v>25.548313270795251</v>
      </c>
    </row>
    <row r="12" spans="1:25" ht="16.8" x14ac:dyDescent="0.35">
      <c r="A12" s="10">
        <v>2</v>
      </c>
      <c r="B12" s="11">
        <v>0</v>
      </c>
      <c r="C12" s="11">
        <v>1</v>
      </c>
      <c r="D12" s="11">
        <v>7</v>
      </c>
      <c r="E12" s="11">
        <v>0</v>
      </c>
      <c r="F12" s="11">
        <v>2</v>
      </c>
      <c r="G12" s="11">
        <v>2</v>
      </c>
      <c r="H12" s="11">
        <v>0</v>
      </c>
      <c r="I12" s="11">
        <v>2</v>
      </c>
      <c r="J12" s="11">
        <v>41148.664810000002</v>
      </c>
      <c r="K12" s="61">
        <v>0</v>
      </c>
      <c r="L12" s="72">
        <v>0</v>
      </c>
      <c r="M12" s="3"/>
      <c r="N12" s="31" t="s">
        <v>25</v>
      </c>
      <c r="O12" s="11">
        <f>B12/2</f>
        <v>0</v>
      </c>
      <c r="P12" s="11" t="s">
        <v>15</v>
      </c>
      <c r="Q12" s="45" t="s">
        <v>18</v>
      </c>
      <c r="R12" s="12">
        <f>$R$27*(J12-$J$10)/10^7</f>
        <v>25.548313270795251</v>
      </c>
    </row>
    <row r="13" spans="1:25" ht="16.8" x14ac:dyDescent="0.35">
      <c r="A13" s="13">
        <v>2</v>
      </c>
      <c r="B13" s="14">
        <v>2</v>
      </c>
      <c r="C13" s="14">
        <v>1</v>
      </c>
      <c r="D13" s="14">
        <v>8</v>
      </c>
      <c r="E13" s="14">
        <v>0</v>
      </c>
      <c r="F13" s="14">
        <v>2</v>
      </c>
      <c r="G13" s="14">
        <v>2</v>
      </c>
      <c r="H13" s="14">
        <v>0</v>
      </c>
      <c r="I13" s="14">
        <v>2</v>
      </c>
      <c r="J13" s="14">
        <v>41148.664810000002</v>
      </c>
      <c r="K13" s="62">
        <v>0</v>
      </c>
      <c r="L13" s="73">
        <v>0</v>
      </c>
      <c r="M13" s="3"/>
      <c r="N13" s="32" t="s">
        <v>25</v>
      </c>
      <c r="O13" s="14">
        <f>B13/2</f>
        <v>1</v>
      </c>
      <c r="P13" s="14" t="s">
        <v>15</v>
      </c>
      <c r="Q13" s="46" t="s">
        <v>18</v>
      </c>
      <c r="R13" s="15">
        <f>$R$27*(J13-$J$10)/10^7</f>
        <v>25.548313270795251</v>
      </c>
    </row>
    <row r="14" spans="1:25" ht="16.8" x14ac:dyDescent="0.35">
      <c r="A14" s="19">
        <v>2</v>
      </c>
      <c r="B14" s="20">
        <v>-2</v>
      </c>
      <c r="C14" s="20">
        <v>1</v>
      </c>
      <c r="D14" s="20">
        <v>9</v>
      </c>
      <c r="E14" s="20">
        <v>0</v>
      </c>
      <c r="F14" s="20">
        <v>2</v>
      </c>
      <c r="G14" s="20">
        <v>2</v>
      </c>
      <c r="H14" s="20">
        <v>2</v>
      </c>
      <c r="I14" s="20">
        <v>0</v>
      </c>
      <c r="J14" s="20">
        <v>41148.299579999999</v>
      </c>
      <c r="K14" s="63">
        <v>0</v>
      </c>
      <c r="L14" s="74">
        <v>0</v>
      </c>
      <c r="M14" s="3"/>
      <c r="N14" s="33" t="s">
        <v>22</v>
      </c>
      <c r="O14" s="20">
        <f>B14/2</f>
        <v>-1</v>
      </c>
      <c r="P14" s="20" t="s">
        <v>19</v>
      </c>
      <c r="Q14" s="44" t="s">
        <v>18</v>
      </c>
      <c r="R14" s="21">
        <f>$R$27*(J14-$J$10)/10^7</f>
        <v>14.598993327169323</v>
      </c>
    </row>
    <row r="15" spans="1:25" ht="16.8" x14ac:dyDescent="0.35">
      <c r="A15" s="22">
        <v>2</v>
      </c>
      <c r="B15" s="23">
        <v>0</v>
      </c>
      <c r="C15" s="23">
        <v>1</v>
      </c>
      <c r="D15" s="23">
        <v>10</v>
      </c>
      <c r="E15" s="23">
        <v>0</v>
      </c>
      <c r="F15" s="23">
        <v>2</v>
      </c>
      <c r="G15" s="23">
        <v>2</v>
      </c>
      <c r="H15" s="23">
        <v>2</v>
      </c>
      <c r="I15" s="23">
        <v>0</v>
      </c>
      <c r="J15" s="23">
        <v>41148.299579999999</v>
      </c>
      <c r="K15" s="64">
        <v>0</v>
      </c>
      <c r="L15" s="75">
        <v>0</v>
      </c>
      <c r="M15" s="3"/>
      <c r="N15" s="34" t="s">
        <v>22</v>
      </c>
      <c r="O15" s="23">
        <f t="shared" ref="O15:O25" si="0">B15/2</f>
        <v>0</v>
      </c>
      <c r="P15" s="23" t="s">
        <v>19</v>
      </c>
      <c r="Q15" s="45" t="s">
        <v>18</v>
      </c>
      <c r="R15" s="24">
        <f>$R$27*(J15-$J$10)/10^7</f>
        <v>14.598993327169323</v>
      </c>
    </row>
    <row r="16" spans="1:25" ht="16.8" x14ac:dyDescent="0.35">
      <c r="A16" s="25">
        <v>2</v>
      </c>
      <c r="B16" s="26">
        <v>2</v>
      </c>
      <c r="C16" s="26">
        <v>1</v>
      </c>
      <c r="D16" s="26">
        <v>11</v>
      </c>
      <c r="E16" s="26">
        <v>0</v>
      </c>
      <c r="F16" s="26">
        <v>2</v>
      </c>
      <c r="G16" s="26">
        <v>2</v>
      </c>
      <c r="H16" s="26">
        <v>2</v>
      </c>
      <c r="I16" s="26">
        <v>0</v>
      </c>
      <c r="J16" s="26">
        <v>41148.299579999999</v>
      </c>
      <c r="K16" s="65">
        <v>0</v>
      </c>
      <c r="L16" s="76">
        <v>0</v>
      </c>
      <c r="M16" s="3"/>
      <c r="N16" s="35" t="s">
        <v>22</v>
      </c>
      <c r="O16" s="26">
        <f t="shared" si="0"/>
        <v>1</v>
      </c>
      <c r="P16" s="26" t="s">
        <v>19</v>
      </c>
      <c r="Q16" s="46" t="s">
        <v>18</v>
      </c>
      <c r="R16" s="27">
        <f>$R$27*(J16-$J$10)/10^7</f>
        <v>14.598993327169323</v>
      </c>
    </row>
    <row r="17" spans="1:18" ht="16.8" x14ac:dyDescent="0.35">
      <c r="A17" s="4">
        <v>2</v>
      </c>
      <c r="B17" s="5">
        <v>0</v>
      </c>
      <c r="C17" s="5">
        <v>1</v>
      </c>
      <c r="D17" s="5">
        <v>12</v>
      </c>
      <c r="E17" s="5">
        <v>0</v>
      </c>
      <c r="F17" s="5">
        <v>2</v>
      </c>
      <c r="G17" s="5">
        <v>0</v>
      </c>
      <c r="H17" s="5">
        <v>2</v>
      </c>
      <c r="I17" s="5">
        <v>2</v>
      </c>
      <c r="J17" s="5">
        <v>41148.056100000002</v>
      </c>
      <c r="K17" s="66">
        <v>0</v>
      </c>
      <c r="L17" s="77">
        <v>0</v>
      </c>
      <c r="M17" s="3"/>
      <c r="N17" s="36" t="s">
        <v>23</v>
      </c>
      <c r="O17" s="5">
        <f t="shared" si="0"/>
        <v>0</v>
      </c>
      <c r="P17" s="5" t="s">
        <v>15</v>
      </c>
      <c r="Q17" s="43" t="s">
        <v>18</v>
      </c>
      <c r="R17" s="6">
        <f>$R$27*(J17-$J$10)/10^7</f>
        <v>7.2996465598644065</v>
      </c>
    </row>
    <row r="18" spans="1:18" ht="16.8" x14ac:dyDescent="0.35">
      <c r="A18" s="7">
        <v>2</v>
      </c>
      <c r="B18" s="8">
        <v>-2</v>
      </c>
      <c r="C18" s="8">
        <v>1</v>
      </c>
      <c r="D18" s="8">
        <v>13</v>
      </c>
      <c r="E18" s="8">
        <v>0</v>
      </c>
      <c r="F18" s="8">
        <v>2</v>
      </c>
      <c r="G18" s="8">
        <v>2</v>
      </c>
      <c r="H18" s="8">
        <v>2</v>
      </c>
      <c r="I18" s="8">
        <v>2</v>
      </c>
      <c r="J18" s="8">
        <v>41148.238709999998</v>
      </c>
      <c r="K18" s="60">
        <v>0</v>
      </c>
      <c r="L18" s="71">
        <v>0</v>
      </c>
      <c r="M18" s="3"/>
      <c r="N18" s="30" t="s">
        <v>20</v>
      </c>
      <c r="O18" s="8">
        <f t="shared" si="0"/>
        <v>-1</v>
      </c>
      <c r="P18" s="8" t="s">
        <v>15</v>
      </c>
      <c r="Q18" s="44" t="s">
        <v>18</v>
      </c>
      <c r="R18" s="9">
        <f>$R$27*(J18-$J$10)/10^7</f>
        <v>12.774156635288561</v>
      </c>
    </row>
    <row r="19" spans="1:18" ht="16.8" x14ac:dyDescent="0.35">
      <c r="A19" s="10">
        <v>2</v>
      </c>
      <c r="B19" s="11">
        <v>0</v>
      </c>
      <c r="C19" s="11">
        <v>1</v>
      </c>
      <c r="D19" s="11">
        <v>14</v>
      </c>
      <c r="E19" s="11">
        <v>0</v>
      </c>
      <c r="F19" s="11">
        <v>2</v>
      </c>
      <c r="G19" s="11">
        <v>2</v>
      </c>
      <c r="H19" s="11">
        <v>2</v>
      </c>
      <c r="I19" s="11">
        <v>2</v>
      </c>
      <c r="J19" s="11">
        <v>41148.238709999998</v>
      </c>
      <c r="K19" s="61">
        <v>0</v>
      </c>
      <c r="L19" s="72">
        <v>0</v>
      </c>
      <c r="M19" s="3"/>
      <c r="N19" s="31" t="s">
        <v>20</v>
      </c>
      <c r="O19" s="11">
        <f t="shared" si="0"/>
        <v>0</v>
      </c>
      <c r="P19" s="11" t="s">
        <v>15</v>
      </c>
      <c r="Q19" s="45" t="s">
        <v>18</v>
      </c>
      <c r="R19" s="12">
        <f>$R$27*(J19-$J$10)/10^7</f>
        <v>12.774156635288561</v>
      </c>
    </row>
    <row r="20" spans="1:18" ht="16.8" x14ac:dyDescent="0.35">
      <c r="A20" s="13">
        <v>2</v>
      </c>
      <c r="B20" s="14">
        <v>2</v>
      </c>
      <c r="C20" s="14">
        <v>1</v>
      </c>
      <c r="D20" s="14">
        <v>15</v>
      </c>
      <c r="E20" s="14">
        <v>0</v>
      </c>
      <c r="F20" s="14">
        <v>2</v>
      </c>
      <c r="G20" s="14">
        <v>2</v>
      </c>
      <c r="H20" s="14">
        <v>2</v>
      </c>
      <c r="I20" s="14">
        <v>2</v>
      </c>
      <c r="J20" s="14">
        <v>41148.238709999998</v>
      </c>
      <c r="K20" s="62">
        <v>0</v>
      </c>
      <c r="L20" s="73">
        <v>0</v>
      </c>
      <c r="M20" s="3"/>
      <c r="N20" s="32" t="s">
        <v>20</v>
      </c>
      <c r="O20" s="14">
        <f t="shared" si="0"/>
        <v>1</v>
      </c>
      <c r="P20" s="14" t="s">
        <v>15</v>
      </c>
      <c r="Q20" s="46" t="s">
        <v>18</v>
      </c>
      <c r="R20" s="15">
        <f>$R$27*(J20-$J$10)/10^7</f>
        <v>12.774156635288561</v>
      </c>
    </row>
    <row r="21" spans="1:18" ht="16.8" x14ac:dyDescent="0.35">
      <c r="A21" s="7">
        <v>2</v>
      </c>
      <c r="B21" s="8">
        <v>-4</v>
      </c>
      <c r="C21" s="8">
        <v>1</v>
      </c>
      <c r="D21" s="8">
        <v>16</v>
      </c>
      <c r="E21" s="8">
        <v>0</v>
      </c>
      <c r="F21" s="8">
        <v>2</v>
      </c>
      <c r="G21" s="8">
        <v>4</v>
      </c>
      <c r="H21" s="8">
        <v>2</v>
      </c>
      <c r="I21" s="8">
        <v>2</v>
      </c>
      <c r="J21" s="8">
        <v>41148.3848</v>
      </c>
      <c r="K21" s="60">
        <v>0</v>
      </c>
      <c r="L21" s="71">
        <v>0</v>
      </c>
      <c r="M21" s="3"/>
      <c r="N21" s="30" t="s">
        <v>24</v>
      </c>
      <c r="O21" s="8">
        <f t="shared" si="0"/>
        <v>-2</v>
      </c>
      <c r="P21" s="8" t="s">
        <v>15</v>
      </c>
      <c r="Q21" s="44" t="s">
        <v>18</v>
      </c>
      <c r="R21" s="9">
        <f>$R$27*(J21-$J$10)/10^7</f>
        <v>17.153824654270661</v>
      </c>
    </row>
    <row r="22" spans="1:18" ht="16.8" x14ac:dyDescent="0.35">
      <c r="A22" s="10">
        <v>2</v>
      </c>
      <c r="B22" s="11">
        <v>-2</v>
      </c>
      <c r="C22" s="11">
        <v>1</v>
      </c>
      <c r="D22" s="11">
        <v>17</v>
      </c>
      <c r="E22" s="11">
        <v>0</v>
      </c>
      <c r="F22" s="11">
        <v>2</v>
      </c>
      <c r="G22" s="11">
        <v>4</v>
      </c>
      <c r="H22" s="11">
        <v>2</v>
      </c>
      <c r="I22" s="11">
        <v>2</v>
      </c>
      <c r="J22" s="11">
        <v>41148.3848</v>
      </c>
      <c r="K22" s="61">
        <v>0</v>
      </c>
      <c r="L22" s="72">
        <v>0</v>
      </c>
      <c r="M22" s="3"/>
      <c r="N22" s="31" t="s">
        <v>24</v>
      </c>
      <c r="O22" s="11">
        <f t="shared" si="0"/>
        <v>-1</v>
      </c>
      <c r="P22" s="11" t="s">
        <v>15</v>
      </c>
      <c r="Q22" s="45" t="s">
        <v>18</v>
      </c>
      <c r="R22" s="12">
        <f>$R$27*(J22-$J$10)/10^7</f>
        <v>17.153824654270661</v>
      </c>
    </row>
    <row r="23" spans="1:18" ht="16.8" x14ac:dyDescent="0.35">
      <c r="A23" s="10">
        <v>2</v>
      </c>
      <c r="B23" s="11">
        <v>0</v>
      </c>
      <c r="C23" s="11">
        <v>1</v>
      </c>
      <c r="D23" s="11">
        <v>18</v>
      </c>
      <c r="E23" s="11">
        <v>0</v>
      </c>
      <c r="F23" s="11">
        <v>2</v>
      </c>
      <c r="G23" s="11">
        <v>4</v>
      </c>
      <c r="H23" s="11">
        <v>2</v>
      </c>
      <c r="I23" s="11">
        <v>2</v>
      </c>
      <c r="J23" s="11">
        <v>41148.3848</v>
      </c>
      <c r="K23" s="61">
        <v>0</v>
      </c>
      <c r="L23" s="72">
        <v>0</v>
      </c>
      <c r="M23" s="3"/>
      <c r="N23" s="31" t="s">
        <v>24</v>
      </c>
      <c r="O23" s="11">
        <f t="shared" si="0"/>
        <v>0</v>
      </c>
      <c r="P23" s="11" t="s">
        <v>15</v>
      </c>
      <c r="Q23" s="45" t="s">
        <v>18</v>
      </c>
      <c r="R23" s="12">
        <f>$R$27*(J23-$J$10)/10^7</f>
        <v>17.153824654270661</v>
      </c>
    </row>
    <row r="24" spans="1:18" ht="16.8" x14ac:dyDescent="0.35">
      <c r="A24" s="10">
        <v>2</v>
      </c>
      <c r="B24" s="11">
        <v>2</v>
      </c>
      <c r="C24" s="11">
        <v>1</v>
      </c>
      <c r="D24" s="11">
        <v>19</v>
      </c>
      <c r="E24" s="11">
        <v>0</v>
      </c>
      <c r="F24" s="11">
        <v>2</v>
      </c>
      <c r="G24" s="11">
        <v>4</v>
      </c>
      <c r="H24" s="11">
        <v>2</v>
      </c>
      <c r="I24" s="11">
        <v>2</v>
      </c>
      <c r="J24" s="11">
        <v>41148.3848</v>
      </c>
      <c r="K24" s="61">
        <v>0</v>
      </c>
      <c r="L24" s="72">
        <v>0</v>
      </c>
      <c r="M24" s="3"/>
      <c r="N24" s="31" t="s">
        <v>24</v>
      </c>
      <c r="O24" s="11">
        <f t="shared" si="0"/>
        <v>1</v>
      </c>
      <c r="P24" s="11" t="s">
        <v>15</v>
      </c>
      <c r="Q24" s="45" t="s">
        <v>18</v>
      </c>
      <c r="R24" s="12">
        <f>$R$27*(J24-$J$10)/10^7</f>
        <v>17.153824654270661</v>
      </c>
    </row>
    <row r="25" spans="1:18" ht="16.8" x14ac:dyDescent="0.35">
      <c r="A25" s="13">
        <v>2</v>
      </c>
      <c r="B25" s="14">
        <v>4</v>
      </c>
      <c r="C25" s="14">
        <v>1</v>
      </c>
      <c r="D25" s="14">
        <v>20</v>
      </c>
      <c r="E25" s="14">
        <v>0</v>
      </c>
      <c r="F25" s="14">
        <v>2</v>
      </c>
      <c r="G25" s="14">
        <v>4</v>
      </c>
      <c r="H25" s="14">
        <v>2</v>
      </c>
      <c r="I25" s="14">
        <v>2</v>
      </c>
      <c r="J25" s="14">
        <v>41148.3848</v>
      </c>
      <c r="K25" s="62">
        <v>0</v>
      </c>
      <c r="L25" s="73">
        <v>0</v>
      </c>
      <c r="M25" s="3"/>
      <c r="N25" s="32" t="s">
        <v>24</v>
      </c>
      <c r="O25" s="14">
        <f t="shared" si="0"/>
        <v>2</v>
      </c>
      <c r="P25" s="14" t="s">
        <v>15</v>
      </c>
      <c r="Q25" s="46" t="s">
        <v>18</v>
      </c>
      <c r="R25" s="15">
        <f>$R$27*(J25-$J$10)/10^7</f>
        <v>17.153824654270661</v>
      </c>
    </row>
    <row r="27" spans="1:18" ht="16.8" customHeight="1" x14ac:dyDescent="0.35">
      <c r="L27" s="67" t="s">
        <v>34</v>
      </c>
      <c r="N27" s="28" t="s">
        <v>31</v>
      </c>
      <c r="O27" s="1" t="s">
        <v>32</v>
      </c>
      <c r="R27" s="2">
        <v>299792458</v>
      </c>
    </row>
    <row r="28" spans="1:18" x14ac:dyDescent="0.3">
      <c r="L28" s="67" t="s">
        <v>35</v>
      </c>
      <c r="N28" s="68" t="s">
        <v>30</v>
      </c>
      <c r="R28" s="67" t="s">
        <v>29</v>
      </c>
    </row>
    <row r="29" spans="1:18" x14ac:dyDescent="0.3">
      <c r="L29" s="67" t="s">
        <v>33</v>
      </c>
    </row>
  </sheetData>
  <mergeCells count="3">
    <mergeCell ref="U3:Y3"/>
    <mergeCell ref="N1:R1"/>
    <mergeCell ref="A1:L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2020-04-26T15:43:08Z</dcterms:created>
  <dcterms:modified xsi:type="dcterms:W3CDTF">2020-04-27T16:04:25Z</dcterms:modified>
</cp:coreProperties>
</file>